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eletroequipbr.sharepoint.com/sites/Presales/Setor/7. Ferramentas/"/>
    </mc:Choice>
  </mc:AlternateContent>
  <xr:revisionPtr revIDLastSave="2804" documentId="11_AD4D361C20488DEA4E38A0534C9A50E05BDEDD8F" xr6:coauthVersionLast="47" xr6:coauthVersionMax="47" xr10:uidLastSave="{8071A3CA-CF22-45C0-BED6-547B968BC402}"/>
  <bookViews>
    <workbookView xWindow="-28920" yWindow="-120" windowWidth="29040" windowHeight="15720" tabRatio="1000" xr2:uid="{A25128A0-31C3-4AF8-9550-B7FE024004F0}"/>
  </bookViews>
  <sheets>
    <sheet name="CALCULADORA" sheetId="2" r:id="rId1"/>
    <sheet name="TV RECOMENDADA" sheetId="1" r:id="rId2"/>
    <sheet name="BASE TVs" sheetId="5" r:id="rId3"/>
    <sheet name="TAMANHOS" sheetId="4" r:id="rId4"/>
    <sheet name="DADOS" sheetId="3" r:id="rId5"/>
  </sheets>
  <definedNames>
    <definedName name="METRO.POL" localSheetId="3">TAMANHOS!$J$1</definedName>
    <definedName name="METRO.POL">'TV RECOMENDADA'!$I$1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5" l="1"/>
  <c r="C15" i="5"/>
  <c r="D15" i="5"/>
  <c r="E15" i="5"/>
  <c r="B34" i="5"/>
  <c r="B23" i="5"/>
  <c r="C23" i="5"/>
  <c r="D23" i="5"/>
  <c r="E23" i="5"/>
  <c r="B24" i="5"/>
  <c r="C24" i="5"/>
  <c r="D24" i="5"/>
  <c r="E24" i="5"/>
  <c r="B25" i="5"/>
  <c r="C25" i="5"/>
  <c r="D25" i="5"/>
  <c r="E25" i="5"/>
  <c r="B26" i="5"/>
  <c r="C26" i="5"/>
  <c r="D26" i="5"/>
  <c r="E26" i="5"/>
  <c r="B27" i="5"/>
  <c r="C27" i="5"/>
  <c r="D27" i="5"/>
  <c r="E27" i="5"/>
  <c r="B28" i="5"/>
  <c r="C28" i="5"/>
  <c r="D28" i="5"/>
  <c r="E28" i="5"/>
  <c r="B29" i="5"/>
  <c r="C29" i="5"/>
  <c r="D29" i="5"/>
  <c r="E29" i="5"/>
  <c r="B30" i="5"/>
  <c r="C30" i="5"/>
  <c r="D30" i="5"/>
  <c r="E30" i="5"/>
  <c r="B31" i="5"/>
  <c r="C31" i="5"/>
  <c r="D31" i="5"/>
  <c r="E31" i="5"/>
  <c r="B32" i="5"/>
  <c r="C32" i="5"/>
  <c r="D32" i="5"/>
  <c r="E32" i="5"/>
  <c r="B33" i="5"/>
  <c r="C33" i="5"/>
  <c r="D33" i="5"/>
  <c r="E33" i="5"/>
  <c r="B18" i="5"/>
  <c r="C18" i="5" s="1"/>
  <c r="B19" i="5"/>
  <c r="C19" i="5" s="1"/>
  <c r="B20" i="5"/>
  <c r="C20" i="5" s="1"/>
  <c r="B21" i="5"/>
  <c r="C21" i="5" s="1"/>
  <c r="B22" i="5"/>
  <c r="D22" i="5" s="1"/>
  <c r="B16" i="5"/>
  <c r="C16" i="5" s="1"/>
  <c r="B17" i="5"/>
  <c r="D17" i="5" s="1"/>
  <c r="B14" i="5"/>
  <c r="C14" i="5" s="1"/>
  <c r="B13" i="5"/>
  <c r="C13" i="5" s="1"/>
  <c r="B12" i="5"/>
  <c r="C12" i="5" s="1"/>
  <c r="B11" i="5"/>
  <c r="D11" i="5" s="1"/>
  <c r="B10" i="5"/>
  <c r="C10" i="5" s="1"/>
  <c r="B9" i="5"/>
  <c r="C9" i="5" s="1"/>
  <c r="B8" i="5"/>
  <c r="C8" i="5" s="1"/>
  <c r="B7" i="5"/>
  <c r="E7" i="5" s="1"/>
  <c r="B6" i="5"/>
  <c r="E6" i="5" s="1"/>
  <c r="B5" i="5"/>
  <c r="C5" i="5" s="1"/>
  <c r="B4" i="5"/>
  <c r="C4" i="5" s="1"/>
  <c r="B3" i="5"/>
  <c r="D3" i="5" s="1"/>
  <c r="E34" i="5" l="1"/>
  <c r="D34" i="5"/>
  <c r="C34" i="5"/>
  <c r="D16" i="5"/>
  <c r="E11" i="5"/>
  <c r="E22" i="5"/>
  <c r="E18" i="5"/>
  <c r="D18" i="5"/>
  <c r="C3" i="5"/>
  <c r="C22" i="5"/>
  <c r="E17" i="5"/>
  <c r="C17" i="5"/>
  <c r="E20" i="5"/>
  <c r="C7" i="5"/>
  <c r="D20" i="5"/>
  <c r="E21" i="5"/>
  <c r="E19" i="5"/>
  <c r="D21" i="5"/>
  <c r="D19" i="5"/>
  <c r="E16" i="5"/>
  <c r="E8" i="5"/>
  <c r="D8" i="5"/>
  <c r="E10" i="5"/>
  <c r="D10" i="5"/>
  <c r="E3" i="5"/>
  <c r="D7" i="5"/>
  <c r="C11" i="5"/>
  <c r="D6" i="5"/>
  <c r="E9" i="5"/>
  <c r="E4" i="5"/>
  <c r="C6" i="5"/>
  <c r="D9" i="5"/>
  <c r="E12" i="5"/>
  <c r="D4" i="5"/>
  <c r="D12" i="5"/>
  <c r="E13" i="5"/>
  <c r="D13" i="5"/>
  <c r="E5" i="5"/>
  <c r="D5" i="5"/>
  <c r="E14" i="5"/>
  <c r="D14" i="5"/>
  <c r="B4" i="4" l="1"/>
  <c r="E11" i="4" s="1"/>
  <c r="B11" i="4" s="1"/>
  <c r="D4" i="4" l="1"/>
  <c r="E9" i="4" s="1"/>
  <c r="B9" i="4" s="1"/>
  <c r="C4" i="4"/>
  <c r="E10" i="4" s="1"/>
  <c r="B10" i="4" s="1"/>
  <c r="E4" i="4"/>
  <c r="E8" i="4" s="1"/>
  <c r="B8" i="4" s="1"/>
  <c r="D6" i="2"/>
  <c r="C6" i="2" s="1"/>
  <c r="B4" i="3"/>
  <c r="B3" i="3"/>
  <c r="B2" i="3"/>
  <c r="D2" i="2" s="1"/>
  <c r="D5" i="1"/>
  <c r="D15" i="1"/>
  <c r="C15" i="1"/>
  <c r="B15" i="1"/>
  <c r="D14" i="1"/>
  <c r="D13" i="1"/>
  <c r="D12" i="1"/>
  <c r="D11" i="1"/>
  <c r="D10" i="1"/>
  <c r="D9" i="1"/>
  <c r="D8" i="1"/>
  <c r="D7" i="1"/>
  <c r="D6" i="1"/>
  <c r="D4" i="1"/>
  <c r="B5" i="1"/>
  <c r="B6" i="1"/>
  <c r="B7" i="1"/>
  <c r="B8" i="1"/>
  <c r="B9" i="1"/>
  <c r="B10" i="1"/>
  <c r="B11" i="1"/>
  <c r="B12" i="1"/>
  <c r="B13" i="1"/>
  <c r="B14" i="1"/>
  <c r="B4" i="1"/>
  <c r="C5" i="1"/>
  <c r="C6" i="1"/>
  <c r="C7" i="1"/>
  <c r="C8" i="1"/>
  <c r="C9" i="1"/>
  <c r="C10" i="1"/>
  <c r="C11" i="1"/>
  <c r="C12" i="1"/>
  <c r="C13" i="1"/>
  <c r="C14" i="1"/>
  <c r="C4" i="1"/>
  <c r="D7" i="2" l="1"/>
  <c r="C7" i="2" s="1"/>
  <c r="D9" i="2" l="1"/>
  <c r="C9" i="2" s="1"/>
  <c r="D8" i="2"/>
  <c r="C8" i="2" s="1"/>
  <c r="D11" i="2"/>
  <c r="C11" i="2" s="1"/>
  <c r="D10" i="2"/>
  <c r="C10" i="2" s="1"/>
</calcChain>
</file>

<file path=xl/sharedStrings.xml><?xml version="1.0" encoding="utf-8"?>
<sst xmlns="http://schemas.openxmlformats.org/spreadsheetml/2006/main" count="46" uniqueCount="34">
  <si>
    <t>PROPORÇÃO</t>
  </si>
  <si>
    <t>16:9</t>
  </si>
  <si>
    <t>DIAGONAL DA TELA (ÚTIL)</t>
  </si>
  <si>
    <t>UNIDADES</t>
  </si>
  <si>
    <t>METROS</t>
  </si>
  <si>
    <t>POL.</t>
  </si>
  <si>
    <t>ALTURA DA TELA (ÚTIL)</t>
  </si>
  <si>
    <t>LARGURA DA TELA (ÚTIL)</t>
  </si>
  <si>
    <t>Detalhes (4)</t>
  </si>
  <si>
    <t>Apresentações (6)</t>
  </si>
  <si>
    <t>Vídeo e Imagem (8)</t>
  </si>
  <si>
    <t>Preencher</t>
  </si>
  <si>
    <t>Tabela de Visualização</t>
  </si>
  <si>
    <t>METRO PARA POLEGADA</t>
  </si>
  <si>
    <t>Distância do Último Participante (metros)</t>
  </si>
  <si>
    <t>Diagonal (Polegadas) - Proporção 16:9</t>
  </si>
  <si>
    <t>Tamanho de TV</t>
  </si>
  <si>
    <t>Distância máxima</t>
  </si>
  <si>
    <t>4H</t>
  </si>
  <si>
    <t>6H (metros)</t>
  </si>
  <si>
    <t>8H</t>
  </si>
  <si>
    <t>6H</t>
  </si>
  <si>
    <t>5H</t>
  </si>
  <si>
    <t>ÚLTIMO PARTICIPANTE*</t>
  </si>
  <si>
    <t>TIPO DE CONTEÚDO</t>
  </si>
  <si>
    <t>TAMANHO RECOMENDADO DE TV</t>
  </si>
  <si>
    <t>4H (Detalhes)</t>
  </si>
  <si>
    <t>5H (Apresentações)</t>
  </si>
  <si>
    <t>6H (Apresentações)</t>
  </si>
  <si>
    <t>8H (Vídeos)</t>
  </si>
  <si>
    <t>*Distância média das salas deste tipo.</t>
  </si>
  <si>
    <t>TAXA</t>
  </si>
  <si>
    <t>16:10</t>
  </si>
  <si>
    <t>4:3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</si>
</sst>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/>
    </xf>
    <xf numFmtId="20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5" borderId="1" xfId="0" applyFill="1" applyBorder="1"/>
    <xf numFmtId="0" fontId="1" fillId="5" borderId="3" xfId="0" applyFont="1" applyFill="1" applyBorder="1"/>
    <xf numFmtId="0" fontId="1" fillId="5" borderId="4" xfId="0" applyFont="1" applyFill="1" applyBorder="1" applyAlignment="1">
      <alignment horizontal="center" vertical="center"/>
    </xf>
    <xf numFmtId="0" fontId="0" fillId="6" borderId="7" xfId="0" applyFill="1" applyBorder="1"/>
    <xf numFmtId="165" fontId="0" fillId="6" borderId="8" xfId="0" applyNumberFormat="1" applyFill="1" applyBorder="1" applyAlignment="1">
      <alignment horizontal="center" vertical="center"/>
    </xf>
    <xf numFmtId="0" fontId="0" fillId="7" borderId="7" xfId="0" applyFill="1" applyBorder="1"/>
    <xf numFmtId="0" fontId="0" fillId="6" borderId="9" xfId="0" applyFill="1" applyBorder="1"/>
    <xf numFmtId="0" fontId="0" fillId="8" borderId="0" xfId="0" applyFill="1"/>
    <xf numFmtId="2" fontId="0" fillId="7" borderId="8" xfId="0" applyNumberFormat="1" applyFill="1" applyBorder="1" applyAlignment="1">
      <alignment horizontal="center" vertical="center"/>
    </xf>
    <xf numFmtId="2" fontId="0" fillId="6" borderId="10" xfId="0" applyNumberFormat="1" applyFill="1" applyBorder="1" applyAlignment="1">
      <alignment horizontal="center" vertical="center"/>
    </xf>
    <xf numFmtId="0" fontId="0" fillId="6" borderId="5" xfId="0" applyFill="1" applyBorder="1"/>
    <xf numFmtId="2" fontId="0" fillId="6" borderId="6" xfId="0" applyNumberFormat="1" applyFill="1" applyBorder="1" applyAlignment="1">
      <alignment horizontal="center" vertical="center"/>
    </xf>
    <xf numFmtId="0" fontId="0" fillId="7" borderId="11" xfId="0" applyFill="1" applyBorder="1"/>
    <xf numFmtId="165" fontId="0" fillId="7" borderId="12" xfId="0" applyNumberFormat="1" applyFill="1" applyBorder="1" applyAlignment="1">
      <alignment horizontal="center" vertical="center"/>
    </xf>
    <xf numFmtId="0" fontId="0" fillId="7" borderId="9" xfId="0" applyFill="1" applyBorder="1"/>
    <xf numFmtId="0" fontId="1" fillId="5" borderId="2" xfId="0" applyFont="1" applyFill="1" applyBorder="1" applyAlignment="1">
      <alignment horizontal="center" vertical="center"/>
    </xf>
    <xf numFmtId="165" fontId="0" fillId="7" borderId="13" xfId="0" applyNumberFormat="1" applyFill="1" applyBorder="1" applyAlignment="1">
      <alignment horizontal="center" vertical="center"/>
    </xf>
    <xf numFmtId="2" fontId="0" fillId="6" borderId="14" xfId="0" applyNumberFormat="1" applyFill="1" applyBorder="1" applyAlignment="1">
      <alignment horizontal="center" vertical="center"/>
    </xf>
    <xf numFmtId="2" fontId="0" fillId="7" borderId="15" xfId="0" applyNumberFormat="1" applyFill="1" applyBorder="1" applyAlignment="1">
      <alignment horizontal="center" vertical="center"/>
    </xf>
    <xf numFmtId="2" fontId="0" fillId="6" borderId="16" xfId="0" applyNumberFormat="1" applyFill="1" applyBorder="1" applyAlignment="1">
      <alignment horizontal="center" vertical="center"/>
    </xf>
    <xf numFmtId="2" fontId="0" fillId="7" borderId="14" xfId="0" applyNumberFormat="1" applyFill="1" applyBorder="1" applyAlignment="1">
      <alignment horizontal="center" vertical="center"/>
    </xf>
    <xf numFmtId="2" fontId="0" fillId="6" borderId="15" xfId="0" applyNumberFormat="1" applyFill="1" applyBorder="1" applyAlignment="1">
      <alignment horizontal="center" vertical="center"/>
    </xf>
    <xf numFmtId="165" fontId="0" fillId="7" borderId="10" xfId="0" applyNumberFormat="1" applyFill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0" fillId="9" borderId="3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3" fillId="0" borderId="0" xfId="0" applyFont="1"/>
    <xf numFmtId="0" fontId="0" fillId="9" borderId="18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165" fontId="0" fillId="0" borderId="0" xfId="0" applyNumberFormat="1"/>
    <xf numFmtId="2" fontId="0" fillId="10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DD20-D09A-4E37-A002-43BA69A51676}">
  <sheetPr codeName="Planilha1"/>
  <dimension ref="B1:K13"/>
  <sheetViews>
    <sheetView tabSelected="1" zoomScale="170" zoomScaleNormal="170" workbookViewId="0">
      <selection activeCell="C2" sqref="C2"/>
    </sheetView>
  </sheetViews>
  <sheetFormatPr defaultColWidth="8.453125" defaultRowHeight="14.5" x14ac:dyDescent="0.35"/>
  <cols>
    <col min="1" max="1" width="2.453125" customWidth="1"/>
    <col min="2" max="2" width="31.453125" bestFit="1" customWidth="1"/>
    <col min="3" max="3" width="10.453125" customWidth="1"/>
    <col min="4" max="4" width="9.453125" customWidth="1"/>
    <col min="10" max="10" width="12.453125" customWidth="1"/>
  </cols>
  <sheetData>
    <row r="1" spans="2:11" ht="9" customHeight="1" thickBot="1" x14ac:dyDescent="0.4"/>
    <row r="2" spans="2:11" ht="15" thickBot="1" x14ac:dyDescent="0.4">
      <c r="B2" s="12" t="s">
        <v>0</v>
      </c>
      <c r="C2" s="46" t="s">
        <v>1</v>
      </c>
      <c r="D2" s="11">
        <f>VLOOKUP(C2,DADOS!A1:B4,2,0)</f>
        <v>1.7777777777777777</v>
      </c>
      <c r="J2" s="1"/>
      <c r="K2" s="1"/>
    </row>
    <row r="3" spans="2:11" ht="15" thickBot="1" x14ac:dyDescent="0.4">
      <c r="B3" s="12" t="s">
        <v>2</v>
      </c>
      <c r="C3" s="51">
        <v>150</v>
      </c>
      <c r="J3" s="1"/>
      <c r="K3" s="1"/>
    </row>
    <row r="4" spans="2:11" ht="6.75" customHeight="1" thickBot="1" x14ac:dyDescent="0.4">
      <c r="J4" s="1"/>
      <c r="K4" s="1"/>
    </row>
    <row r="5" spans="2:11" ht="15" thickBot="1" x14ac:dyDescent="0.4">
      <c r="B5" s="13" t="s">
        <v>3</v>
      </c>
      <c r="C5" s="14" t="s">
        <v>4</v>
      </c>
      <c r="D5" s="27" t="s">
        <v>5</v>
      </c>
    </row>
    <row r="6" spans="2:11" x14ac:dyDescent="0.35">
      <c r="B6" s="24" t="s">
        <v>2</v>
      </c>
      <c r="C6" s="25">
        <f t="shared" ref="C6:C11" si="0">D6/39.3701</f>
        <v>3.809997942601111</v>
      </c>
      <c r="D6" s="28">
        <f>C3</f>
        <v>150</v>
      </c>
    </row>
    <row r="7" spans="2:11" x14ac:dyDescent="0.35">
      <c r="B7" s="15" t="s">
        <v>6</v>
      </c>
      <c r="C7" s="16">
        <f t="shared" si="0"/>
        <v>1.8678943143371198</v>
      </c>
      <c r="D7" s="29">
        <f>SQRT(($D$6^2)/($D$2^2+1))</f>
        <v>73.53918594488384</v>
      </c>
      <c r="E7" s="52"/>
    </row>
    <row r="8" spans="2:11" ht="15" thickBot="1" x14ac:dyDescent="0.4">
      <c r="B8" s="26" t="s">
        <v>7</v>
      </c>
      <c r="C8" s="34">
        <f t="shared" si="0"/>
        <v>3.3207010032659907</v>
      </c>
      <c r="D8" s="30">
        <f>$D$2*$D$7</f>
        <v>130.73633056868238</v>
      </c>
    </row>
    <row r="9" spans="2:11" x14ac:dyDescent="0.35">
      <c r="B9" s="22" t="s">
        <v>8</v>
      </c>
      <c r="C9" s="23">
        <f t="shared" si="0"/>
        <v>7.4715772573484793</v>
      </c>
      <c r="D9" s="31">
        <f>$D$7*4</f>
        <v>294.15674377953536</v>
      </c>
      <c r="F9" s="35"/>
      <c r="G9" s="35"/>
    </row>
    <row r="10" spans="2:11" x14ac:dyDescent="0.35">
      <c r="B10" s="17" t="s">
        <v>9</v>
      </c>
      <c r="C10" s="20">
        <f t="shared" si="0"/>
        <v>11.207365886022718</v>
      </c>
      <c r="D10" s="32">
        <f>$D$7*6</f>
        <v>441.23511566930301</v>
      </c>
      <c r="E10" s="35"/>
    </row>
    <row r="11" spans="2:11" ht="15" thickBot="1" x14ac:dyDescent="0.4">
      <c r="B11" s="18" t="s">
        <v>10</v>
      </c>
      <c r="C11" s="21">
        <f t="shared" si="0"/>
        <v>14.943154514696959</v>
      </c>
      <c r="D11" s="33">
        <f>$D$7*8</f>
        <v>588.31348755907072</v>
      </c>
    </row>
    <row r="13" spans="2:11" x14ac:dyDescent="0.35">
      <c r="B13" s="19" t="s">
        <v>11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DB4431-0683-4C54-A366-46A92ADD6E62}">
          <x14:formula1>
            <xm:f>DADOS!$A$2:$A$4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I16"/>
  <sheetViews>
    <sheetView zoomScale="130" zoomScaleNormal="130" workbookViewId="0">
      <selection activeCell="A10" sqref="A10:C11"/>
    </sheetView>
  </sheetViews>
  <sheetFormatPr defaultColWidth="8.453125" defaultRowHeight="14.5" x14ac:dyDescent="0.35"/>
  <cols>
    <col min="1" max="1" width="22.453125" customWidth="1"/>
    <col min="2" max="4" width="17.453125" customWidth="1"/>
    <col min="8" max="8" width="21.453125" customWidth="1"/>
  </cols>
  <sheetData>
    <row r="1" spans="1:9" ht="20.25" customHeight="1" x14ac:dyDescent="0.35">
      <c r="A1" s="56" t="s">
        <v>12</v>
      </c>
      <c r="B1" s="56"/>
      <c r="C1" s="56"/>
      <c r="D1" s="56"/>
      <c r="H1" s="1" t="s">
        <v>13</v>
      </c>
      <c r="I1" s="1">
        <v>39.370100000000001</v>
      </c>
    </row>
    <row r="2" spans="1:9" ht="24.75" customHeight="1" x14ac:dyDescent="0.35">
      <c r="A2" s="54" t="s">
        <v>14</v>
      </c>
      <c r="B2" s="55" t="s">
        <v>15</v>
      </c>
      <c r="C2" s="55"/>
      <c r="D2" s="55"/>
    </row>
    <row r="3" spans="1:9" ht="27.75" customHeight="1" x14ac:dyDescent="0.35">
      <c r="A3" s="54"/>
      <c r="B3" s="3" t="s">
        <v>10</v>
      </c>
      <c r="C3" s="4" t="s">
        <v>9</v>
      </c>
      <c r="D3" s="4" t="s">
        <v>8</v>
      </c>
    </row>
    <row r="4" spans="1:9" x14ac:dyDescent="0.35">
      <c r="A4" s="5">
        <v>2</v>
      </c>
      <c r="B4" s="6">
        <f t="shared" ref="B4:B15" si="0">(SQRT((A4/8)^2+(16*(A4/8)/9)^2))*METRO.POL</f>
        <v>20.076082309457661</v>
      </c>
      <c r="C4" s="6">
        <f t="shared" ref="C4:C15" si="1">(SQRT((A4/6)^2+(16*(A4/6)/9)^2))*METRO.POL</f>
        <v>26.768109745943548</v>
      </c>
      <c r="D4" s="6">
        <f t="shared" ref="D4:D15" si="2">(SQRT((A4/4)^2+(16*(A4/4)/9)^2))*METRO.POL</f>
        <v>40.152164618915322</v>
      </c>
    </row>
    <row r="5" spans="1:9" x14ac:dyDescent="0.35">
      <c r="A5" s="1">
        <v>3</v>
      </c>
      <c r="B5" s="2">
        <f t="shared" si="0"/>
        <v>30.114123464186488</v>
      </c>
      <c r="C5" s="2">
        <f t="shared" si="1"/>
        <v>40.152164618915322</v>
      </c>
      <c r="D5" s="2">
        <f t="shared" si="2"/>
        <v>60.228246928372975</v>
      </c>
    </row>
    <row r="6" spans="1:9" x14ac:dyDescent="0.35">
      <c r="A6" s="5">
        <v>4</v>
      </c>
      <c r="B6" s="6">
        <f t="shared" si="0"/>
        <v>40.152164618915322</v>
      </c>
      <c r="C6" s="6">
        <f t="shared" si="1"/>
        <v>53.536219491887096</v>
      </c>
      <c r="D6" s="6">
        <f t="shared" si="2"/>
        <v>80.304329237830643</v>
      </c>
    </row>
    <row r="7" spans="1:9" x14ac:dyDescent="0.35">
      <c r="A7" s="1">
        <v>5</v>
      </c>
      <c r="B7" s="2">
        <f t="shared" si="0"/>
        <v>50.190205773644152</v>
      </c>
      <c r="C7" s="2">
        <f t="shared" si="1"/>
        <v>66.920274364858884</v>
      </c>
      <c r="D7" s="2">
        <f t="shared" si="2"/>
        <v>100.3804115472883</v>
      </c>
    </row>
    <row r="8" spans="1:9" x14ac:dyDescent="0.35">
      <c r="A8" s="5">
        <v>6</v>
      </c>
      <c r="B8" s="6">
        <f t="shared" si="0"/>
        <v>60.228246928372975</v>
      </c>
      <c r="C8" s="6">
        <f t="shared" si="1"/>
        <v>80.304329237830643</v>
      </c>
      <c r="D8" s="6">
        <f t="shared" si="2"/>
        <v>120.45649385674595</v>
      </c>
    </row>
    <row r="9" spans="1:9" x14ac:dyDescent="0.35">
      <c r="A9" s="1">
        <v>7</v>
      </c>
      <c r="B9" s="2">
        <f t="shared" si="0"/>
        <v>70.266288083101813</v>
      </c>
      <c r="C9" s="2">
        <f t="shared" si="1"/>
        <v>93.688384110802431</v>
      </c>
      <c r="D9" s="2">
        <f t="shared" si="2"/>
        <v>140.53257616620363</v>
      </c>
    </row>
    <row r="10" spans="1:9" x14ac:dyDescent="0.35">
      <c r="A10" s="5">
        <v>8</v>
      </c>
      <c r="B10" s="6">
        <f t="shared" si="0"/>
        <v>80.304329237830643</v>
      </c>
      <c r="C10" s="6">
        <f t="shared" si="1"/>
        <v>107.07243898377419</v>
      </c>
      <c r="D10" s="6">
        <f t="shared" si="2"/>
        <v>160.60865847566129</v>
      </c>
    </row>
    <row r="11" spans="1:9" x14ac:dyDescent="0.35">
      <c r="A11" s="1">
        <v>9</v>
      </c>
      <c r="B11" s="2">
        <f t="shared" si="0"/>
        <v>90.342370392559474</v>
      </c>
      <c r="C11" s="2">
        <f t="shared" si="1"/>
        <v>120.45649385674595</v>
      </c>
      <c r="D11" s="2">
        <f t="shared" si="2"/>
        <v>180.68474078511895</v>
      </c>
    </row>
    <row r="12" spans="1:9" x14ac:dyDescent="0.35">
      <c r="A12" s="5">
        <v>10</v>
      </c>
      <c r="B12" s="6">
        <f t="shared" si="0"/>
        <v>100.3804115472883</v>
      </c>
      <c r="C12" s="6">
        <f t="shared" si="1"/>
        <v>133.84054872971777</v>
      </c>
      <c r="D12" s="6">
        <f t="shared" si="2"/>
        <v>200.76082309457661</v>
      </c>
    </row>
    <row r="13" spans="1:9" x14ac:dyDescent="0.35">
      <c r="A13" s="1">
        <v>11</v>
      </c>
      <c r="B13" s="2">
        <f t="shared" si="0"/>
        <v>110.41845270201713</v>
      </c>
      <c r="C13" s="2">
        <f t="shared" si="1"/>
        <v>147.22460360268951</v>
      </c>
      <c r="D13" s="2">
        <f t="shared" si="2"/>
        <v>220.83690540403427</v>
      </c>
    </row>
    <row r="14" spans="1:9" x14ac:dyDescent="0.35">
      <c r="A14" s="5">
        <v>7.32</v>
      </c>
      <c r="B14" s="6">
        <f t="shared" si="0"/>
        <v>73.478461252615048</v>
      </c>
      <c r="C14" s="6">
        <f t="shared" si="1"/>
        <v>97.971281670153374</v>
      </c>
      <c r="D14" s="6">
        <f t="shared" si="2"/>
        <v>146.9569225052301</v>
      </c>
    </row>
    <row r="15" spans="1:9" x14ac:dyDescent="0.35">
      <c r="A15" s="53">
        <v>8.6300000000000008</v>
      </c>
      <c r="B15" s="47">
        <f t="shared" si="0"/>
        <v>86.628295165309808</v>
      </c>
      <c r="C15" s="47">
        <f t="shared" si="1"/>
        <v>115.50439355374641</v>
      </c>
      <c r="D15" s="47">
        <f t="shared" si="2"/>
        <v>173.25659033061962</v>
      </c>
    </row>
    <row r="16" spans="1:9" x14ac:dyDescent="0.35">
      <c r="A16" s="2"/>
      <c r="B16" s="2"/>
      <c r="C16" s="2"/>
      <c r="D16" s="2"/>
    </row>
  </sheetData>
  <mergeCells count="3">
    <mergeCell ref="A2:A3"/>
    <mergeCell ref="B2:D2"/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97D1-0158-47D7-8264-AD3EA26D217E}">
  <sheetPr codeName="Planilha3"/>
  <dimension ref="A1:E40"/>
  <sheetViews>
    <sheetView showGridLines="0" topLeftCell="A12" zoomScale="130" zoomScaleNormal="130" workbookViewId="0">
      <selection activeCell="A31" sqref="A31:XFD31"/>
    </sheetView>
  </sheetViews>
  <sheetFormatPr defaultColWidth="8.453125" defaultRowHeight="14.5" x14ac:dyDescent="0.35"/>
  <cols>
    <col min="1" max="1" width="11.453125" customWidth="1"/>
    <col min="2" max="2" width="6.453125" hidden="1" customWidth="1"/>
    <col min="3" max="3" width="9.453125" customWidth="1"/>
    <col min="4" max="4" width="16.453125" customWidth="1"/>
    <col min="5" max="5" width="9.453125" customWidth="1"/>
  </cols>
  <sheetData>
    <row r="1" spans="1:5" x14ac:dyDescent="0.35">
      <c r="A1" s="54" t="s">
        <v>16</v>
      </c>
      <c r="B1" s="3"/>
      <c r="C1" s="55" t="s">
        <v>17</v>
      </c>
      <c r="D1" s="55"/>
      <c r="E1" s="55"/>
    </row>
    <row r="2" spans="1:5" x14ac:dyDescent="0.35">
      <c r="A2" s="54"/>
      <c r="B2" s="3"/>
      <c r="C2" s="4" t="s">
        <v>18</v>
      </c>
      <c r="D2" s="3" t="s">
        <v>19</v>
      </c>
      <c r="E2" s="3" t="s">
        <v>20</v>
      </c>
    </row>
    <row r="3" spans="1:5" x14ac:dyDescent="0.35">
      <c r="A3" s="5">
        <v>32</v>
      </c>
      <c r="B3" s="48">
        <f>SQRT((A3^2)/((16/9)^2+1))</f>
        <v>15.688359668241887</v>
      </c>
      <c r="C3" s="48">
        <f t="shared" ref="C3:C22" si="0">B3*4/39.3701</f>
        <v>1.5939364815676755</v>
      </c>
      <c r="D3" s="48">
        <f>B3*6/39.3701</f>
        <v>2.3909047223515136</v>
      </c>
      <c r="E3" s="48">
        <f t="shared" ref="E3:E14" si="1">B3*8/39.3701</f>
        <v>3.1878729631353511</v>
      </c>
    </row>
    <row r="4" spans="1:5" x14ac:dyDescent="0.35">
      <c r="A4" s="1">
        <v>40</v>
      </c>
      <c r="B4" s="49">
        <f t="shared" ref="B4:B14" si="2">SQRT((A4^2)/((16/9)^2+1))</f>
        <v>19.610449585302359</v>
      </c>
      <c r="C4" s="49">
        <f t="shared" si="0"/>
        <v>1.9924206019595945</v>
      </c>
      <c r="D4" s="49">
        <f t="shared" ref="D4:D14" si="3">B4*6/39.3701</f>
        <v>2.9886309029393918</v>
      </c>
      <c r="E4" s="49">
        <f t="shared" si="1"/>
        <v>3.9848412039191889</v>
      </c>
    </row>
    <row r="5" spans="1:5" x14ac:dyDescent="0.35">
      <c r="A5" s="5">
        <v>42</v>
      </c>
      <c r="B5" s="48">
        <f t="shared" si="2"/>
        <v>20.590972064567477</v>
      </c>
      <c r="C5" s="48">
        <f t="shared" si="0"/>
        <v>2.0920416320575743</v>
      </c>
      <c r="D5" s="48">
        <f t="shared" si="3"/>
        <v>3.1380624480863615</v>
      </c>
      <c r="E5" s="48">
        <f t="shared" si="1"/>
        <v>4.1840832641151486</v>
      </c>
    </row>
    <row r="6" spans="1:5" x14ac:dyDescent="0.35">
      <c r="A6" s="1">
        <v>43</v>
      </c>
      <c r="B6" s="49">
        <f t="shared" si="2"/>
        <v>21.081233304200037</v>
      </c>
      <c r="C6" s="49">
        <f t="shared" si="0"/>
        <v>2.1418521471065644</v>
      </c>
      <c r="D6" s="49">
        <f t="shared" si="3"/>
        <v>3.2127782206598461</v>
      </c>
      <c r="E6" s="49">
        <f t="shared" si="1"/>
        <v>4.2837042942131287</v>
      </c>
    </row>
    <row r="7" spans="1:5" x14ac:dyDescent="0.35">
      <c r="A7" s="5">
        <v>47</v>
      </c>
      <c r="B7" s="48">
        <f t="shared" si="2"/>
        <v>23.042278262730271</v>
      </c>
      <c r="C7" s="48">
        <f t="shared" si="0"/>
        <v>2.3410942073025236</v>
      </c>
      <c r="D7" s="48">
        <f t="shared" si="3"/>
        <v>3.5116413109537858</v>
      </c>
      <c r="E7" s="48">
        <f t="shared" si="1"/>
        <v>4.6821884146050472</v>
      </c>
    </row>
    <row r="8" spans="1:5" x14ac:dyDescent="0.35">
      <c r="A8" s="1">
        <v>50</v>
      </c>
      <c r="B8" s="49">
        <f t="shared" si="2"/>
        <v>24.513061981627949</v>
      </c>
      <c r="C8" s="49">
        <f t="shared" si="0"/>
        <v>2.4905257524494933</v>
      </c>
      <c r="D8" s="49">
        <f t="shared" si="3"/>
        <v>3.7357886286742401</v>
      </c>
      <c r="E8" s="49">
        <f t="shared" si="1"/>
        <v>4.9810515048989865</v>
      </c>
    </row>
    <row r="9" spans="1:5" x14ac:dyDescent="0.35">
      <c r="A9" s="5">
        <v>55</v>
      </c>
      <c r="B9" s="48">
        <f t="shared" si="2"/>
        <v>26.964368179790743</v>
      </c>
      <c r="C9" s="48">
        <f t="shared" si="0"/>
        <v>2.7395783276944425</v>
      </c>
      <c r="D9" s="48">
        <f t="shared" si="3"/>
        <v>4.109367491541664</v>
      </c>
      <c r="E9" s="48">
        <f t="shared" si="1"/>
        <v>5.4791566553888851</v>
      </c>
    </row>
    <row r="10" spans="1:5" x14ac:dyDescent="0.35">
      <c r="A10" s="1">
        <v>60</v>
      </c>
      <c r="B10" s="49">
        <f t="shared" si="2"/>
        <v>29.41567437795354</v>
      </c>
      <c r="C10" s="49">
        <f t="shared" si="0"/>
        <v>2.9886309029393918</v>
      </c>
      <c r="D10" s="49">
        <f t="shared" si="3"/>
        <v>4.482946354409088</v>
      </c>
      <c r="E10" s="49">
        <f t="shared" si="1"/>
        <v>5.9772618058787836</v>
      </c>
    </row>
    <row r="11" spans="1:5" x14ac:dyDescent="0.35">
      <c r="A11" s="5">
        <v>65</v>
      </c>
      <c r="B11" s="48">
        <f t="shared" si="2"/>
        <v>31.866980576116333</v>
      </c>
      <c r="C11" s="48">
        <f t="shared" si="0"/>
        <v>3.2376834781843411</v>
      </c>
      <c r="D11" s="48">
        <f t="shared" si="3"/>
        <v>4.8565252172765119</v>
      </c>
      <c r="E11" s="48">
        <f t="shared" si="1"/>
        <v>6.4753669563686822</v>
      </c>
    </row>
    <row r="12" spans="1:5" x14ac:dyDescent="0.35">
      <c r="A12" s="1">
        <v>75</v>
      </c>
      <c r="B12" s="49">
        <f t="shared" si="2"/>
        <v>36.76959297244192</v>
      </c>
      <c r="C12" s="49">
        <f t="shared" si="0"/>
        <v>3.7357886286742397</v>
      </c>
      <c r="D12" s="49">
        <f t="shared" si="3"/>
        <v>5.6036829430113588</v>
      </c>
      <c r="E12" s="49">
        <f t="shared" si="1"/>
        <v>7.4715772573484793</v>
      </c>
    </row>
    <row r="13" spans="1:5" x14ac:dyDescent="0.35">
      <c r="A13" s="5">
        <v>80</v>
      </c>
      <c r="B13" s="48">
        <f t="shared" si="2"/>
        <v>39.220899170604717</v>
      </c>
      <c r="C13" s="48">
        <f t="shared" si="0"/>
        <v>3.9848412039191889</v>
      </c>
      <c r="D13" s="48">
        <f t="shared" si="3"/>
        <v>5.9772618058787836</v>
      </c>
      <c r="E13" s="48">
        <f t="shared" si="1"/>
        <v>7.9696824078383779</v>
      </c>
    </row>
    <row r="14" spans="1:5" x14ac:dyDescent="0.35">
      <c r="A14" s="1">
        <v>85</v>
      </c>
      <c r="B14" s="49">
        <f t="shared" si="2"/>
        <v>41.672205368767514</v>
      </c>
      <c r="C14" s="49">
        <f t="shared" si="0"/>
        <v>4.2338937791641387</v>
      </c>
      <c r="D14" s="49">
        <f t="shared" si="3"/>
        <v>6.3508406687462076</v>
      </c>
      <c r="E14" s="49">
        <f t="shared" si="1"/>
        <v>8.4677875583282773</v>
      </c>
    </row>
    <row r="15" spans="1:5" x14ac:dyDescent="0.35">
      <c r="A15" s="1">
        <v>86</v>
      </c>
      <c r="B15" s="49">
        <f t="shared" ref="B15" si="4">SQRT((A15^2)/((16/9)^2+1))</f>
        <v>42.162466608400074</v>
      </c>
      <c r="C15" s="49">
        <f t="shared" ref="C15" si="5">B15*4/39.3701</f>
        <v>4.2837042942131287</v>
      </c>
      <c r="D15" s="49">
        <f t="shared" ref="D15" si="6">B15*6/39.3701</f>
        <v>6.4255564413196922</v>
      </c>
      <c r="E15" s="49">
        <f t="shared" ref="E15" si="7">B15*8/39.3701</f>
        <v>8.5674085884262574</v>
      </c>
    </row>
    <row r="16" spans="1:5" x14ac:dyDescent="0.35">
      <c r="A16" s="5">
        <v>90</v>
      </c>
      <c r="B16" s="48">
        <f t="shared" ref="B16:B17" si="8">SQRT((A16^2)/((16/9)^2+1))</f>
        <v>44.123511566930311</v>
      </c>
      <c r="C16" s="48">
        <f t="shared" si="0"/>
        <v>4.482946354409088</v>
      </c>
      <c r="D16" s="48">
        <f t="shared" ref="D16:D17" si="9">B16*6/39.3701</f>
        <v>6.7244195316136315</v>
      </c>
      <c r="E16" s="48">
        <f t="shared" ref="E16:E17" si="10">B16*8/39.3701</f>
        <v>8.9658927088181759</v>
      </c>
    </row>
    <row r="17" spans="1:5" x14ac:dyDescent="0.35">
      <c r="A17" s="1">
        <v>95</v>
      </c>
      <c r="B17" s="49">
        <f t="shared" si="8"/>
        <v>46.574817765093101</v>
      </c>
      <c r="C17" s="49">
        <f t="shared" si="0"/>
        <v>4.7319989296540372</v>
      </c>
      <c r="D17" s="49">
        <f t="shared" si="9"/>
        <v>7.0979983944810563</v>
      </c>
      <c r="E17" s="49">
        <f t="shared" si="10"/>
        <v>9.4639978593080745</v>
      </c>
    </row>
    <row r="18" spans="1:5" x14ac:dyDescent="0.35">
      <c r="A18" s="5">
        <v>98</v>
      </c>
      <c r="B18" s="48">
        <f>SQRT((A18^2)/((16/9)^2+1))</f>
        <v>48.045601483990779</v>
      </c>
      <c r="C18" s="48">
        <f>B18*4/39.3701</f>
        <v>4.8814304748010064</v>
      </c>
      <c r="D18" s="48">
        <f>B18*6/39.3701</f>
        <v>7.322145712201511</v>
      </c>
      <c r="E18" s="48">
        <f>B18*8/39.3701</f>
        <v>9.7628609496020129</v>
      </c>
    </row>
    <row r="19" spans="1:5" x14ac:dyDescent="0.35">
      <c r="A19" s="5">
        <v>100</v>
      </c>
      <c r="B19" s="48">
        <f t="shared" ref="B19:B22" si="11">SQRT((A19^2)/((16/9)^2+1))</f>
        <v>49.026123963255898</v>
      </c>
      <c r="C19" s="48">
        <f t="shared" si="0"/>
        <v>4.9810515048989865</v>
      </c>
      <c r="D19" s="48">
        <f t="shared" ref="D19:D22" si="12">B19*6/39.3701</f>
        <v>7.4715772573484802</v>
      </c>
      <c r="E19" s="48">
        <f t="shared" ref="E19:E22" si="13">B19*8/39.3701</f>
        <v>9.962103009797973</v>
      </c>
    </row>
    <row r="20" spans="1:5" x14ac:dyDescent="0.35">
      <c r="A20" s="1">
        <v>105</v>
      </c>
      <c r="B20" s="49">
        <f t="shared" si="11"/>
        <v>51.477430161418695</v>
      </c>
      <c r="C20" s="49">
        <f t="shared" si="0"/>
        <v>5.2301040801439358</v>
      </c>
      <c r="D20" s="49">
        <f t="shared" si="12"/>
        <v>7.845156120215905</v>
      </c>
      <c r="E20" s="49">
        <f t="shared" si="13"/>
        <v>10.460208160287872</v>
      </c>
    </row>
    <row r="21" spans="1:5" x14ac:dyDescent="0.35">
      <c r="A21" s="5">
        <v>110</v>
      </c>
      <c r="B21" s="48">
        <f t="shared" si="11"/>
        <v>53.928736359581485</v>
      </c>
      <c r="C21" s="48">
        <f t="shared" si="0"/>
        <v>5.4791566553888851</v>
      </c>
      <c r="D21" s="48">
        <f t="shared" si="12"/>
        <v>8.2187349830833281</v>
      </c>
      <c r="E21" s="48">
        <f t="shared" si="13"/>
        <v>10.95831331077777</v>
      </c>
    </row>
    <row r="22" spans="1:5" x14ac:dyDescent="0.35">
      <c r="A22" s="1">
        <v>115</v>
      </c>
      <c r="B22" s="49">
        <f t="shared" si="11"/>
        <v>56.380042557744282</v>
      </c>
      <c r="C22" s="49">
        <f t="shared" si="0"/>
        <v>5.7282092306338344</v>
      </c>
      <c r="D22" s="49">
        <f t="shared" si="12"/>
        <v>8.592313845950752</v>
      </c>
      <c r="E22" s="49">
        <f t="shared" si="13"/>
        <v>11.456418461267669</v>
      </c>
    </row>
    <row r="23" spans="1:5" x14ac:dyDescent="0.35">
      <c r="A23" s="1">
        <v>120</v>
      </c>
      <c r="B23" s="49">
        <f t="shared" ref="B23:B33" si="14">SQRT((A23^2)/((16/9)^2+1))</f>
        <v>58.831348755907079</v>
      </c>
      <c r="C23" s="49">
        <f t="shared" ref="C23:C33" si="15">B23*4/39.3701</f>
        <v>5.9772618058787836</v>
      </c>
      <c r="D23" s="49">
        <f t="shared" ref="D23:D33" si="16">B23*6/39.3701</f>
        <v>8.9658927088181759</v>
      </c>
      <c r="E23" s="49">
        <f t="shared" ref="E23:E33" si="17">B23*8/39.3701</f>
        <v>11.954523611757567</v>
      </c>
    </row>
    <row r="24" spans="1:5" x14ac:dyDescent="0.35">
      <c r="A24" s="5">
        <v>125</v>
      </c>
      <c r="B24" s="48">
        <f t="shared" si="14"/>
        <v>61.282654954069876</v>
      </c>
      <c r="C24" s="48">
        <f t="shared" si="15"/>
        <v>6.2263143811237338</v>
      </c>
      <c r="D24" s="48">
        <f t="shared" si="16"/>
        <v>9.3394715716855998</v>
      </c>
      <c r="E24" s="48">
        <f t="shared" si="17"/>
        <v>12.452628762247468</v>
      </c>
    </row>
    <row r="25" spans="1:5" x14ac:dyDescent="0.35">
      <c r="A25" s="1">
        <v>130</v>
      </c>
      <c r="B25" s="49">
        <f t="shared" si="14"/>
        <v>63.733961152232666</v>
      </c>
      <c r="C25" s="49">
        <f t="shared" si="15"/>
        <v>6.4753669563686822</v>
      </c>
      <c r="D25" s="49">
        <f t="shared" si="16"/>
        <v>9.7130504345530237</v>
      </c>
      <c r="E25" s="49">
        <f t="shared" si="17"/>
        <v>12.950733912737364</v>
      </c>
    </row>
    <row r="26" spans="1:5" x14ac:dyDescent="0.35">
      <c r="A26" s="1">
        <v>136</v>
      </c>
      <c r="B26" s="49">
        <f t="shared" si="14"/>
        <v>66.675528590028023</v>
      </c>
      <c r="C26" s="49">
        <f t="shared" si="15"/>
        <v>6.7742300466626215</v>
      </c>
      <c r="D26" s="49">
        <f t="shared" si="16"/>
        <v>10.161345069993933</v>
      </c>
      <c r="E26" s="49">
        <f t="shared" si="17"/>
        <v>13.548460093325243</v>
      </c>
    </row>
    <row r="27" spans="1:5" x14ac:dyDescent="0.35">
      <c r="A27" s="5">
        <v>140</v>
      </c>
      <c r="B27" s="48">
        <f t="shared" si="14"/>
        <v>68.63657354855826</v>
      </c>
      <c r="C27" s="48">
        <f t="shared" si="15"/>
        <v>6.9734721068585817</v>
      </c>
      <c r="D27" s="48">
        <f t="shared" si="16"/>
        <v>10.460208160287872</v>
      </c>
      <c r="E27" s="48">
        <f t="shared" si="17"/>
        <v>13.946944213717163</v>
      </c>
    </row>
    <row r="28" spans="1:5" x14ac:dyDescent="0.35">
      <c r="A28" s="1">
        <v>146</v>
      </c>
      <c r="B28" s="49">
        <f t="shared" si="14"/>
        <v>71.578140986353617</v>
      </c>
      <c r="C28" s="49">
        <f t="shared" si="15"/>
        <v>7.272335197152521</v>
      </c>
      <c r="D28" s="49">
        <f t="shared" si="16"/>
        <v>10.908502795728781</v>
      </c>
      <c r="E28" s="49">
        <f t="shared" si="17"/>
        <v>14.544670394305042</v>
      </c>
    </row>
    <row r="29" spans="1:5" x14ac:dyDescent="0.35">
      <c r="A29" s="1">
        <v>150</v>
      </c>
      <c r="B29" s="49">
        <f t="shared" si="14"/>
        <v>73.53918594488384</v>
      </c>
      <c r="C29" s="49">
        <f t="shared" si="15"/>
        <v>7.4715772573484793</v>
      </c>
      <c r="D29" s="49">
        <f t="shared" si="16"/>
        <v>11.207365886022718</v>
      </c>
      <c r="E29" s="49">
        <f t="shared" si="17"/>
        <v>14.943154514696959</v>
      </c>
    </row>
    <row r="30" spans="1:5" x14ac:dyDescent="0.35">
      <c r="A30" s="5">
        <v>155</v>
      </c>
      <c r="B30" s="48">
        <f t="shared" si="14"/>
        <v>75.990492143046637</v>
      </c>
      <c r="C30" s="48">
        <f t="shared" si="15"/>
        <v>7.7206298325934286</v>
      </c>
      <c r="D30" s="48">
        <f t="shared" si="16"/>
        <v>11.580944748890142</v>
      </c>
      <c r="E30" s="48">
        <f t="shared" si="17"/>
        <v>15.441259665186857</v>
      </c>
    </row>
    <row r="31" spans="1:5" x14ac:dyDescent="0.35">
      <c r="A31" s="1">
        <v>160</v>
      </c>
      <c r="B31" s="49">
        <f t="shared" si="14"/>
        <v>78.441798341209434</v>
      </c>
      <c r="C31" s="49">
        <f t="shared" si="15"/>
        <v>7.9696824078383779</v>
      </c>
      <c r="D31" s="49">
        <f t="shared" si="16"/>
        <v>11.954523611757567</v>
      </c>
      <c r="E31" s="49">
        <f t="shared" si="17"/>
        <v>15.939364815676756</v>
      </c>
    </row>
    <row r="32" spans="1:5" x14ac:dyDescent="0.35">
      <c r="A32" s="1">
        <v>163</v>
      </c>
      <c r="B32" s="49">
        <f t="shared" si="14"/>
        <v>79.912582060107113</v>
      </c>
      <c r="C32" s="49">
        <f t="shared" si="15"/>
        <v>8.119113952985348</v>
      </c>
      <c r="D32" s="49">
        <f t="shared" si="16"/>
        <v>12.17867092947802</v>
      </c>
      <c r="E32" s="49">
        <f t="shared" si="17"/>
        <v>16.238227905970696</v>
      </c>
    </row>
    <row r="33" spans="1:5" x14ac:dyDescent="0.35">
      <c r="A33" s="5">
        <v>165</v>
      </c>
      <c r="B33" s="48">
        <f t="shared" si="14"/>
        <v>80.893104539372231</v>
      </c>
      <c r="C33" s="48">
        <f t="shared" si="15"/>
        <v>8.2187349830833281</v>
      </c>
      <c r="D33" s="48">
        <f t="shared" si="16"/>
        <v>12.328102474624991</v>
      </c>
      <c r="E33" s="48">
        <f t="shared" si="17"/>
        <v>16.437469966166656</v>
      </c>
    </row>
    <row r="34" spans="1:5" x14ac:dyDescent="0.35">
      <c r="A34" s="5">
        <v>170</v>
      </c>
      <c r="B34" s="48">
        <f t="shared" ref="B34" si="18">SQRT((A34^2)/((16/9)^2+1))</f>
        <v>83.344410737535028</v>
      </c>
      <c r="C34" s="48">
        <f t="shared" ref="C34" si="19">B34*4/39.3701</f>
        <v>8.4677875583282773</v>
      </c>
      <c r="D34" s="48">
        <f t="shared" ref="D34" si="20">B34*6/39.3701</f>
        <v>12.701681337492415</v>
      </c>
      <c r="E34" s="48">
        <f t="shared" ref="E34" si="21">B34*8/39.3701</f>
        <v>16.935575116656555</v>
      </c>
    </row>
    <row r="35" spans="1:5" x14ac:dyDescent="0.35">
      <c r="A35" s="5"/>
      <c r="B35" s="48"/>
      <c r="C35" s="48"/>
      <c r="D35" s="48"/>
      <c r="E35" s="48"/>
    </row>
    <row r="36" spans="1:5" x14ac:dyDescent="0.35">
      <c r="A36" s="5"/>
      <c r="B36" s="48"/>
      <c r="C36" s="48"/>
      <c r="D36" s="48"/>
      <c r="E36" s="48"/>
    </row>
    <row r="37" spans="1:5" x14ac:dyDescent="0.35">
      <c r="A37" s="5"/>
      <c r="B37" s="48"/>
      <c r="C37" s="48"/>
      <c r="D37" s="48"/>
      <c r="E37" s="48"/>
    </row>
    <row r="38" spans="1:5" x14ac:dyDescent="0.35">
      <c r="A38" s="5"/>
      <c r="B38" s="48"/>
      <c r="C38" s="48"/>
      <c r="D38" s="48"/>
      <c r="E38" s="48"/>
    </row>
    <row r="39" spans="1:5" x14ac:dyDescent="0.35">
      <c r="A39" s="5"/>
      <c r="B39" s="48"/>
      <c r="C39" s="48"/>
      <c r="D39" s="48"/>
      <c r="E39" s="48"/>
    </row>
    <row r="40" spans="1:5" x14ac:dyDescent="0.35">
      <c r="A40" s="5"/>
      <c r="B40" s="48"/>
      <c r="C40" s="48"/>
      <c r="D40" s="48"/>
      <c r="E40" s="48"/>
    </row>
  </sheetData>
  <mergeCells count="2">
    <mergeCell ref="A1:A2"/>
    <mergeCell ref="C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9FDA-5C90-4A5C-A42C-0CEF9C8AEC36}">
  <sheetPr codeName="Planilha4"/>
  <dimension ref="A1:J12"/>
  <sheetViews>
    <sheetView zoomScale="150" zoomScaleNormal="150" workbookViewId="0">
      <selection activeCell="D19" sqref="D19"/>
    </sheetView>
  </sheetViews>
  <sheetFormatPr defaultColWidth="8.453125" defaultRowHeight="14.5" x14ac:dyDescent="0.35"/>
  <cols>
    <col min="1" max="1" width="23.453125" customWidth="1"/>
    <col min="2" max="3" width="20.453125" customWidth="1"/>
    <col min="4" max="5" width="17.453125" customWidth="1"/>
    <col min="9" max="9" width="21.453125" customWidth="1"/>
  </cols>
  <sheetData>
    <row r="1" spans="1:10" ht="20.25" customHeight="1" x14ac:dyDescent="0.35">
      <c r="A1" s="56" t="s">
        <v>12</v>
      </c>
      <c r="B1" s="56"/>
      <c r="C1" s="56"/>
      <c r="D1" s="56"/>
      <c r="E1" s="56"/>
      <c r="I1" s="1" t="s">
        <v>13</v>
      </c>
      <c r="J1" s="1">
        <v>39.370100000000001</v>
      </c>
    </row>
    <row r="2" spans="1:10" x14ac:dyDescent="0.35">
      <c r="A2" s="54" t="s">
        <v>14</v>
      </c>
      <c r="B2" s="3"/>
      <c r="C2" s="55" t="s">
        <v>15</v>
      </c>
      <c r="D2" s="55"/>
      <c r="E2" s="55"/>
    </row>
    <row r="3" spans="1:10" x14ac:dyDescent="0.35">
      <c r="A3" s="54"/>
      <c r="B3" s="3" t="s">
        <v>20</v>
      </c>
      <c r="C3" s="3" t="s">
        <v>21</v>
      </c>
      <c r="D3" s="4" t="s">
        <v>22</v>
      </c>
      <c r="E3" s="4" t="s">
        <v>18</v>
      </c>
    </row>
    <row r="4" spans="1:10" ht="21" customHeight="1" x14ac:dyDescent="0.35">
      <c r="A4" s="7">
        <v>11.7</v>
      </c>
      <c r="B4" s="2">
        <f>(SQRT((A4/8)^2+(16*(A4/8)/9)^2))*METRO.POL</f>
        <v>117.4450815103273</v>
      </c>
      <c r="C4" s="2">
        <f>(SQRT((A4/6)^2+(16*(A4/6)/9)^2))*METRO.POL</f>
        <v>156.59344201376976</v>
      </c>
      <c r="D4" s="2">
        <f>(SQRT((A4/5)^2+(16*(A4/5)/9)^2))*METRO.POL</f>
        <v>187.91213041652372</v>
      </c>
      <c r="E4" s="2">
        <f>(SQRT((A4/4)^2+(16*(A4/4)/9)^2))*METRO.POL</f>
        <v>234.8901630206546</v>
      </c>
    </row>
    <row r="5" spans="1:10" ht="15" thickBot="1" x14ac:dyDescent="0.4"/>
    <row r="6" spans="1:10" ht="17.25" customHeight="1" thickBot="1" x14ac:dyDescent="0.4">
      <c r="A6" s="37" t="s">
        <v>23</v>
      </c>
      <c r="B6" s="50">
        <v>4</v>
      </c>
    </row>
    <row r="7" spans="1:10" ht="48.75" customHeight="1" x14ac:dyDescent="0.35">
      <c r="A7" s="38" t="s">
        <v>24</v>
      </c>
      <c r="B7" s="38" t="s">
        <v>25</v>
      </c>
    </row>
    <row r="8" spans="1:10" x14ac:dyDescent="0.35">
      <c r="A8" s="42" t="s">
        <v>26</v>
      </c>
      <c r="B8" s="39" t="str">
        <f>_xlfn.CONCAT(E8,"""")</f>
        <v>235"</v>
      </c>
      <c r="E8" s="36">
        <f>ROUND(E4,0)</f>
        <v>235</v>
      </c>
    </row>
    <row r="9" spans="1:10" hidden="1" x14ac:dyDescent="0.35">
      <c r="A9" s="42" t="s">
        <v>27</v>
      </c>
      <c r="B9" s="39" t="str">
        <f>_xlfn.CONCAT(E9,"""")</f>
        <v>188"</v>
      </c>
      <c r="E9" s="36">
        <f>ROUND(D4,0)</f>
        <v>188</v>
      </c>
    </row>
    <row r="10" spans="1:10" x14ac:dyDescent="0.35">
      <c r="A10" s="44" t="s">
        <v>28</v>
      </c>
      <c r="B10" s="45" t="str">
        <f>_xlfn.CONCAT(E10,"""")</f>
        <v>157"</v>
      </c>
      <c r="E10" s="36">
        <f>ROUND(C4,0)</f>
        <v>157</v>
      </c>
    </row>
    <row r="11" spans="1:10" ht="15" thickBot="1" x14ac:dyDescent="0.4">
      <c r="A11" s="43" t="s">
        <v>29</v>
      </c>
      <c r="B11" s="40" t="str">
        <f>_xlfn.CONCAT(E11,"""")</f>
        <v>117"</v>
      </c>
      <c r="E11" s="36">
        <f>ROUND(B4,0)</f>
        <v>117</v>
      </c>
    </row>
    <row r="12" spans="1:10" x14ac:dyDescent="0.35">
      <c r="A12" s="41" t="s">
        <v>30</v>
      </c>
    </row>
  </sheetData>
  <mergeCells count="3">
    <mergeCell ref="A1:E1"/>
    <mergeCell ref="A2:A3"/>
    <mergeCell ref="C2:E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497D-D151-4BC1-B593-C3DB13D92EDB}">
  <sheetPr codeName="Planilha5"/>
  <dimension ref="A1:B4"/>
  <sheetViews>
    <sheetView workbookViewId="0"/>
  </sheetViews>
  <sheetFormatPr defaultColWidth="8.453125" defaultRowHeight="14.5" x14ac:dyDescent="0.35"/>
  <cols>
    <col min="1" max="2" width="12.453125" customWidth="1"/>
  </cols>
  <sheetData>
    <row r="1" spans="1:2" x14ac:dyDescent="0.35">
      <c r="A1" s="10" t="s">
        <v>0</v>
      </c>
      <c r="B1" s="10" t="s">
        <v>31</v>
      </c>
    </row>
    <row r="2" spans="1:2" x14ac:dyDescent="0.35">
      <c r="A2" s="8" t="s">
        <v>1</v>
      </c>
      <c r="B2" s="1">
        <f>16/9</f>
        <v>1.7777777777777777</v>
      </c>
    </row>
    <row r="3" spans="1:2" x14ac:dyDescent="0.35">
      <c r="A3" s="8" t="s">
        <v>32</v>
      </c>
      <c r="B3" s="1">
        <f>16/10</f>
        <v>1.6</v>
      </c>
    </row>
    <row r="4" spans="1:2" x14ac:dyDescent="0.35">
      <c r="A4" s="9" t="s">
        <v>33</v>
      </c>
      <c r="B4" s="1">
        <f>4/3</f>
        <v>1.3333333333333333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B431967BB37D4F98FFE4E64F6F737E" ma:contentTypeVersion="15" ma:contentTypeDescription="Crie um novo documento." ma:contentTypeScope="" ma:versionID="80997adb8f05697f2f82c5fbffff3214">
  <xsd:schema xmlns:xsd="http://www.w3.org/2001/XMLSchema" xmlns:xs="http://www.w3.org/2001/XMLSchema" xmlns:p="http://schemas.microsoft.com/office/2006/metadata/properties" xmlns:ns2="183630af-42be-4f93-9db2-b9c8bc69d73a" xmlns:ns3="e38d7aad-8210-4bf4-93d5-dcdbcd3e3122" targetNamespace="http://schemas.microsoft.com/office/2006/metadata/properties" ma:root="true" ma:fieldsID="4f3094b2bfe94d684a9d13b76a9f2b6c" ns2:_="" ns3:_="">
    <xsd:import namespace="183630af-42be-4f93-9db2-b9c8bc69d73a"/>
    <xsd:import namespace="e38d7aad-8210-4bf4-93d5-dcdbcd3e31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630af-42be-4f93-9db2-b9c8bc69d7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9a56c2c9-6058-4064-96e6-0964aa4756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8d7aad-8210-4bf4-93d5-dcdbcd3e312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0b0574a-1ebf-4597-91d4-63b4777ffafe}" ma:internalName="TaxCatchAll" ma:showField="CatchAllData" ma:web="e38d7aad-8210-4bf4-93d5-dcdbcd3e3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8d7aad-8210-4bf4-93d5-dcdbcd3e3122" xsi:nil="true"/>
    <lcf76f155ced4ddcb4097134ff3c332f xmlns="183630af-42be-4f93-9db2-b9c8bc69d7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91152B-28DF-4CF8-8B91-9E267C5248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F80DFE-B839-4CD2-8021-7C2D6BCDAD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3630af-42be-4f93-9db2-b9c8bc69d73a"/>
    <ds:schemaRef ds:uri="e38d7aad-8210-4bf4-93d5-dcdbcd3e31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EFD1A7-5BA4-41EE-BE34-B003446AAB52}">
  <ds:schemaRefs>
    <ds:schemaRef ds:uri="http://schemas.openxmlformats.org/package/2006/metadata/core-properties"/>
    <ds:schemaRef ds:uri="http://schemas.microsoft.com/office/2006/documentManagement/types"/>
    <ds:schemaRef ds:uri="e38d7aad-8210-4bf4-93d5-dcdbcd3e3122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183630af-42be-4f93-9db2-b9c8bc69d73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CALCULADORA</vt:lpstr>
      <vt:lpstr>TV RECOMENDADA</vt:lpstr>
      <vt:lpstr>BASE TVs</vt:lpstr>
      <vt:lpstr>TAMANHOS</vt:lpstr>
      <vt:lpstr>DADOS</vt:lpstr>
      <vt:lpstr>TAMANHOS!METRO.POL</vt:lpstr>
      <vt:lpstr>METRO.POL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Murilo Vieira</dc:creator>
  <cp:keywords/>
  <dc:description/>
  <cp:lastModifiedBy>Josue Fernandes Souza</cp:lastModifiedBy>
  <cp:revision/>
  <dcterms:created xsi:type="dcterms:W3CDTF">2015-06-05T18:19:34Z</dcterms:created>
  <dcterms:modified xsi:type="dcterms:W3CDTF">2026-02-11T13:25:51Z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0x0101006CB431967BB37D4F98FFE4E64F6F737E</vt:lpwstr>
  </property>
  <property fmtid="{D5CDD505-2E9C-101B-9397-08002B2CF9AE}" pid="3" name="MediaServiceImageTags">
    <vt:lpwstr/>
  </property>
</Properties>
</file>